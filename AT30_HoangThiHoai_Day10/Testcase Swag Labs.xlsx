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Products" sheetId="2" r:id="rId6"/>
  </sheets>
  <definedNames/>
  <calcPr/>
</workbook>
</file>

<file path=xl/sharedStrings.xml><?xml version="1.0" encoding="utf-8"?>
<sst xmlns="http://schemas.openxmlformats.org/spreadsheetml/2006/main" count="358" uniqueCount="189">
  <si>
    <t>Module Code</t>
  </si>
  <si>
    <t>Login</t>
  </si>
  <si>
    <t>Test requirement</t>
  </si>
  <si>
    <t>&lt;Brief description about requirements which are tested in this sheet&gt;</t>
  </si>
  <si>
    <t>Tester</t>
  </si>
  <si>
    <t>Pass</t>
  </si>
  <si>
    <t>Fail</t>
  </si>
  <si>
    <t>Untested</t>
  </si>
  <si>
    <t>N/A</t>
  </si>
  <si>
    <t>Number of Test cases</t>
  </si>
  <si>
    <t>ID</t>
  </si>
  <si>
    <t>Group Name</t>
  </si>
  <si>
    <t>Sub Group Name</t>
  </si>
  <si>
    <t>Test Case Description</t>
  </si>
  <si>
    <t>Precondition</t>
  </si>
  <si>
    <t>Test Case Procedure/Input</t>
  </si>
  <si>
    <t>Test data</t>
  </si>
  <si>
    <t>Expected Output</t>
  </si>
  <si>
    <t>Result</t>
  </si>
  <si>
    <t>Note</t>
  </si>
  <si>
    <t>Acess Right</t>
  </si>
  <si>
    <t>Copy Link</t>
  </si>
  <si>
    <r>
      <rPr>
        <rFont val="Tahoma"/>
      </rPr>
      <t xml:space="preserve">1. Copy link: </t>
    </r>
    <r>
      <rPr>
        <rFont val="Tahoma"/>
        <color rgb="FF1155CC"/>
        <u/>
      </rPr>
      <t>https://www.saucedemo.com/</t>
    </r>
    <r>
      <rPr>
        <rFont val="Tahoma"/>
      </rPr>
      <t xml:space="preserve"> 
2. Nhân Enter</t>
    </r>
  </si>
  <si>
    <t>Hiển thị màn hình Login</t>
  </si>
  <si>
    <t>UI</t>
  </si>
  <si>
    <t xml:space="preserve">Check số lượng items </t>
  </si>
  <si>
    <t>Đang ở màn hình Login</t>
  </si>
  <si>
    <t>Check số lượng item</t>
  </si>
  <si>
    <t>Hiển thị chính xác các item:
- Tên màn hình: Login
- Textbox: User, password
- Button: Login</t>
  </si>
  <si>
    <t>Check vị trí,font,size,...</t>
  </si>
  <si>
    <t>Check vị trí,font,size</t>
  </si>
  <si>
    <t>Hiển thị theo đúng design</t>
  </si>
  <si>
    <t>Check trạng thái các items</t>
  </si>
  <si>
    <t>Button Login ở trạng thái enable</t>
  </si>
  <si>
    <t>Check hiển thị các giá trị default</t>
  </si>
  <si>
    <t xml:space="preserve">Hai textbox để trống </t>
  </si>
  <si>
    <t>Validation</t>
  </si>
  <si>
    <t>Username</t>
  </si>
  <si>
    <t>Không nhập Username</t>
  </si>
  <si>
    <t>User đang ở màn hình login</t>
  </si>
  <si>
    <t>1.Input data:
- Username: Để trống không nhập
- Pass: secret_sauce
2.Click button Login</t>
  </si>
  <si>
    <t>2.Hệ thống thông báo lỗi"Epic sadface: Username is required"</t>
  </si>
  <si>
    <t>Password</t>
  </si>
  <si>
    <t>Không nhập password</t>
  </si>
  <si>
    <t>1. Input data:
- Username: standard_user
- Pass: Để trống
2. Click button Login</t>
  </si>
  <si>
    <t>2. Hệ thống thông báo: "Epic sadface: Password is required"</t>
  </si>
  <si>
    <t>Business</t>
  </si>
  <si>
    <t>Login thành công</t>
  </si>
  <si>
    <t>Tồn tại
Username: standard_user
Pass: secret_sauce</t>
  </si>
  <si>
    <t>1. Input data
- Nhập đúng Username
- Nhập đúng Password
2. Click button Login</t>
  </si>
  <si>
    <t>Username: standard_user
Pass: secret_sauce</t>
  </si>
  <si>
    <t>Đăng nhập thành công</t>
  </si>
  <si>
    <t>Username ko tồn tại</t>
  </si>
  <si>
    <t>Không tồn tại username: 1234</t>
  </si>
  <si>
    <t>1. Input data
- Nhập sai Username
2. Click Login</t>
  </si>
  <si>
    <t>Username: 1234
Pass: secret_sauce</t>
  </si>
  <si>
    <t>Màn hình báo: Epic sadface: Username and password do not match any user in this service</t>
  </si>
  <si>
    <t>Nhập Password không đúng</t>
  </si>
  <si>
    <t>1. Input data
- Nhập đúng Username
- Nhập sai Password
2. Click button Login</t>
  </si>
  <si>
    <t>Username: standard_user
Pass: 1234</t>
  </si>
  <si>
    <t>Màn hình báo lỗi: Epic sadface: Username and password do not match any user in this service</t>
  </si>
  <si>
    <t>Products</t>
  </si>
  <si>
    <t>Copy link</t>
  </si>
  <si>
    <t>Truy cập màn hình bằng cách copy link trên cùng trình duyệt và session còn hiệu lực</t>
  </si>
  <si>
    <t>Đã login vào hệ thống và session còn hiệu lực</t>
  </si>
  <si>
    <t>1. Mở 1 tab mới trên trình duyệt
2. Paste link vào trình duyệt
3. Nhấn Enter</t>
  </si>
  <si>
    <t>3. Hiển thị màn hình Products</t>
  </si>
  <si>
    <t>Truy cập màn hình bằng cách copy link trên cùng trình duyệt và session hết hiệu lực</t>
  </si>
  <si>
    <t>Đã login vào hệ thống và session hết hiệu lực</t>
  </si>
  <si>
    <t>3. Hiển thị màn hình login</t>
  </si>
  <si>
    <t>Truy cập vào màn hình bằng cách copy link khác trình duyệt</t>
  </si>
  <si>
    <t>1. Mở 1 tab mới trình duyệt khác.   
2. Paste link vào trình duyệt
3. Nhấn enter</t>
  </si>
  <si>
    <t>Check số lượng Item</t>
  </si>
  <si>
    <t>Đang ở màn hình Product</t>
  </si>
  <si>
    <t>Item đúng theo design</t>
  </si>
  <si>
    <t>Check số font, size, colour,…</t>
  </si>
  <si>
    <t>Hiển thị chính xác theo design</t>
  </si>
  <si>
    <t>Check trạng thái</t>
  </si>
  <si>
    <t>Check trạng thái các item enable/disable</t>
  </si>
  <si>
    <t>Các item đều ở trạng thái enable</t>
  </si>
  <si>
    <t xml:space="preserve">Check giá trị defaut
</t>
  </si>
  <si>
    <t>Kiểm tra các giá trị defaut</t>
  </si>
  <si>
    <t>Chức năng sắp xếp</t>
  </si>
  <si>
    <t>Mặc định sort tăng dần theo name</t>
  </si>
  <si>
    <t>Sắp xếp theo Name (Z--&gt;A)</t>
  </si>
  <si>
    <t>Kiếm tra sắp xếp name giảm dần</t>
  </si>
  <si>
    <t>Sort tăng dần theo name</t>
  </si>
  <si>
    <t>Sắp xếp theo Price (Low --&gt; high)</t>
  </si>
  <si>
    <t>Kiểm tra sắp xếp theo Price (Low --&gt; high)</t>
  </si>
  <si>
    <t>Sort theo tăng dần Price</t>
  </si>
  <si>
    <t>Sắp xếp theo Price (high--&gt; low)</t>
  </si>
  <si>
    <t>Kiểm tra sắp xếp theo Price (high--&gt; low)</t>
  </si>
  <si>
    <t>Sort giảmdần Price</t>
  </si>
  <si>
    <t xml:space="preserve">Thông tin sản phẩm </t>
  </si>
  <si>
    <t>Tên sản phẩm</t>
  </si>
  <si>
    <t>Kiểm tra hiển thị đúng format, vị trí</t>
  </si>
  <si>
    <t>Tên sản phẩm hiển thị đúng format, vị trí theo desgin</t>
  </si>
  <si>
    <t>Tên sản phẩm dài</t>
  </si>
  <si>
    <t>Kiểm tra dữ liệu dài có bị khuyết không</t>
  </si>
  <si>
    <t>Click vào tên sản phẩm</t>
  </si>
  <si>
    <t>Link đến màn hình chi tiết sản phẩm</t>
  </si>
  <si>
    <t>Mô tả sản phẩm</t>
  </si>
  <si>
    <t>Mô tả dài</t>
  </si>
  <si>
    <t>Trống mô tả</t>
  </si>
  <si>
    <t>Kiểm tra giao diện có bị fix cứng khoảng trắng khi không có mô  tả</t>
  </si>
  <si>
    <t>Giá</t>
  </si>
  <si>
    <t>Kiểm tra format giá</t>
  </si>
  <si>
    <t>Format ngăn cách nhau hàng trăm hàng nghìn, chữ số sau dấu phẩy đúng yêu cầu</t>
  </si>
  <si>
    <t>Kiểm tra làm tròn giá</t>
  </si>
  <si>
    <t>Làm tròn theo cấu hình</t>
  </si>
  <si>
    <t>Kiểm tra khi giá =0</t>
  </si>
  <si>
    <t>Hiển thị số 0</t>
  </si>
  <si>
    <t>Hình ảnh sản phẩm</t>
  </si>
  <si>
    <t>Kiểm tra hiển thị đúng vị trí, chất lượng hình ảnh</t>
  </si>
  <si>
    <t>Hỉnh ảnh đúng vị trí, sắc nét</t>
  </si>
  <si>
    <t>Kiểm tra hình ảnh khớp với sản phẩm</t>
  </si>
  <si>
    <t>Hình ảnh đã khớp với sản phẩm chưa</t>
  </si>
  <si>
    <t>Hình ảnh trống</t>
  </si>
  <si>
    <t>Click vào hình ảnh</t>
  </si>
  <si>
    <t>Button Add to cart/Remove</t>
  </si>
  <si>
    <t>Kiểm tra trạng thái mặc đinh button</t>
  </si>
  <si>
    <t>Button ở  trạng thái enable Add to cart</t>
  </si>
  <si>
    <t>Click vào button Add to cart</t>
  </si>
  <si>
    <t>1.Button chuyển trạng thái Remove
2.Sản phẩm được thêm vào giỏ hàng
3.Số lượng sản phẩm giỏ hàng =Số lượng hiện tại +1</t>
  </si>
  <si>
    <t>Click vào button Remove</t>
  </si>
  <si>
    <t>1.Button chuyển trạng thái Add to cart
2.Sản phẩm được xóa khỏi giỏ hàng
3.Số lượng sản phẩm giỏ hàng =Số lượng hiện tại -1</t>
  </si>
  <si>
    <t>Chi tiết sản phẩm</t>
  </si>
  <si>
    <t>Đang ở màn hình chi tiết Product</t>
  </si>
  <si>
    <t>Button back to product</t>
  </si>
  <si>
    <t>Click vào button  back to products</t>
  </si>
  <si>
    <t>Link đến màn hình danh sách products</t>
  </si>
  <si>
    <t>Giỏ hàng</t>
  </si>
  <si>
    <t>Button Giỏ hàng</t>
  </si>
  <si>
    <t>Đang ở màn hình Products</t>
  </si>
  <si>
    <t>Clich bào icon giỏ hàng</t>
  </si>
  <si>
    <t>Link đến màn hình giỏ hàng</t>
  </si>
  <si>
    <t>Đang ở màn hình Giỏ hàng</t>
  </si>
  <si>
    <t>Số lượng</t>
  </si>
  <si>
    <t>Kiểm tra format Số lượng</t>
  </si>
  <si>
    <t>Đúng format số lượng</t>
  </si>
  <si>
    <t>Button Remove</t>
  </si>
  <si>
    <t>1.Sản phẩm được xóa khỏi giỏ hàng
2.Số lượng sản phẩm giỏ hàng =Số lượng hiện tại -1</t>
  </si>
  <si>
    <t>Xóa hết sản phẩm trong giỏ hàng</t>
  </si>
  <si>
    <t xml:space="preserve">1.Giỏ hàng hiển thị thông báo gì không?
2.Số lượng trên icon giỏ hàng không hiển thị
</t>
  </si>
  <si>
    <t>Button Continue Shopping</t>
  </si>
  <si>
    <t>CLick button Continue Shopping</t>
  </si>
  <si>
    <t>Button Checkout</t>
  </si>
  <si>
    <t>Click button Checkout</t>
  </si>
  <si>
    <t>Link đến màn hình Checkout: Your Information</t>
  </si>
  <si>
    <t>Màn hình Checkout: Your Information</t>
  </si>
  <si>
    <t>FirstName</t>
  </si>
  <si>
    <t>Để trống</t>
  </si>
  <si>
    <t>Đang ở màn hình Checkout: Your Information</t>
  </si>
  <si>
    <t>Click button Continue</t>
  </si>
  <si>
    <t>Thông báo 'Error: First Name is required'</t>
  </si>
  <si>
    <t>Nhập độ dài &lt; min length</t>
  </si>
  <si>
    <t>Link đến màn hình Checkout: Overview</t>
  </si>
  <si>
    <t>Nhập độ dài &gt; max length</t>
  </si>
  <si>
    <t>Nhập độ dài == min length</t>
  </si>
  <si>
    <t>Nhập độ dài thuộc khoảng (min length, max length)</t>
  </si>
  <si>
    <t>Nhập ký tự đặc biệt</t>
  </si>
  <si>
    <t>Nhập độ dài == max length</t>
  </si>
  <si>
    <t>LastName</t>
  </si>
  <si>
    <t>Thông báo 'Error: Last Name is required</t>
  </si>
  <si>
    <t>Zip Postal code</t>
  </si>
  <si>
    <t>Thông báo 'Error: Postal Code is required</t>
  </si>
  <si>
    <t>Button Cancel</t>
  </si>
  <si>
    <t>Click button Cancel</t>
  </si>
  <si>
    <t>Link đến màn hình Your Cart</t>
  </si>
  <si>
    <t>Button Continue</t>
  </si>
  <si>
    <t>Nhập các thông tin hợp lệ</t>
  </si>
  <si>
    <t xml:space="preserve">Link đến màn hình </t>
  </si>
  <si>
    <t>Checkout: Overview</t>
  </si>
  <si>
    <t>Đang ở màn hình Checkout: Overview</t>
  </si>
  <si>
    <t>Thông tin thanh toán</t>
  </si>
  <si>
    <t>Thông tin giao hàng</t>
  </si>
  <si>
    <t>Tổng tiền</t>
  </si>
  <si>
    <t>Kiểm tra công thức tính tổng tiền</t>
  </si>
  <si>
    <t>Tổng tiền =Số lượng *Đơn giá</t>
  </si>
  <si>
    <t>Kiểm tra format</t>
  </si>
  <si>
    <t>Kiểm tra làm tròn</t>
  </si>
  <si>
    <t>Button Finish</t>
  </si>
  <si>
    <t>Click button Finish</t>
  </si>
  <si>
    <t>1.Link đến màn hình Checkout: Complete!
2.Xóa sản phẩm trong giỏ hàng
3.Số lượng trên icon giỏ hàng trống</t>
  </si>
  <si>
    <t>Checkout: Complete!</t>
  </si>
  <si>
    <t>Kiểm tra giao diện, vị trí,...</t>
  </si>
  <si>
    <t>Đúng theo thiết kế</t>
  </si>
  <si>
    <t>Button Backhome</t>
  </si>
  <si>
    <t>Click button Backhome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</si>
</sst>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theme="1"/>
      <name val="MS PGothic"/>
    </font>
    <font>
      <b/>
      <color theme="1"/>
      <name val="Tahoma"/>
    </font>
    <font>
      <i/>
      <color rgb="FF006411"/>
      <name val="Tahoma"/>
    </font>
    <font/>
    <font>
      <color theme="1"/>
      <name val="Tahoma"/>
    </font>
    <font>
      <b/>
      <color rgb="FFFFFFFF"/>
      <name val="Tahoma"/>
    </font>
    <font>
      <u/>
      <color rgb="FF0000FF"/>
      <name val="Tahoma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90"/>
        <bgColor rgb="FF000090"/>
      </patternFill>
    </fill>
    <fill>
      <patternFill patternType="solid">
        <fgColor rgb="FF00FF00"/>
        <bgColor rgb="FF00FF00"/>
      </patternFill>
    </fill>
  </fills>
  <borders count="23">
    <border/>
    <border>
      <left/>
      <right/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3" fillId="2" fontId="2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shrinkToFit="0" vertical="top" wrapText="1"/>
    </xf>
    <xf borderId="4" fillId="2" fontId="1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6" fillId="2" fontId="2" numFmtId="0" xfId="0" applyAlignment="1" applyBorder="1" applyFont="1">
      <alignment shrinkToFit="0" vertical="top" wrapText="1"/>
    </xf>
    <xf borderId="7" fillId="2" fontId="3" numFmtId="0" xfId="0" applyAlignment="1" applyBorder="1" applyFont="1">
      <alignment shrinkToFit="0" vertical="top" wrapText="1"/>
    </xf>
    <xf borderId="8" fillId="0" fontId="4" numFmtId="0" xfId="0" applyBorder="1" applyFont="1"/>
    <xf borderId="9" fillId="0" fontId="4" numFmtId="0" xfId="0" applyBorder="1" applyFont="1"/>
    <xf borderId="10" fillId="2" fontId="1" numFmtId="0" xfId="0" applyAlignment="1" applyBorder="1" applyFont="1">
      <alignment vertical="bottom"/>
    </xf>
    <xf borderId="11" fillId="2" fontId="1" numFmtId="0" xfId="0" applyAlignment="1" applyBorder="1" applyFont="1">
      <alignment vertical="bottom"/>
    </xf>
    <xf borderId="3" fillId="2" fontId="2" numFmtId="0" xfId="0" applyAlignment="1" applyBorder="1" applyFont="1">
      <alignment horizontal="center" shrinkToFit="0" vertical="bottom" wrapText="1"/>
    </xf>
    <xf borderId="5" fillId="2" fontId="2" numFmtId="0" xfId="0" applyAlignment="1" applyBorder="1" applyFont="1">
      <alignment horizontal="center" shrinkToFit="0" vertical="bottom" wrapText="1"/>
    </xf>
    <xf borderId="11" fillId="2" fontId="2" numFmtId="0" xfId="0" applyAlignment="1" applyBorder="1" applyFont="1">
      <alignment horizontal="center" shrinkToFit="0" vertical="bottom" wrapText="1"/>
    </xf>
    <xf borderId="3" fillId="2" fontId="5" numFmtId="0" xfId="0" applyAlignment="1" applyBorder="1" applyFont="1">
      <alignment horizontal="center" shrinkToFit="0" vertical="bottom" wrapText="1"/>
    </xf>
    <xf borderId="11" fillId="2" fontId="5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shrinkToFit="0" vertical="bottom" wrapText="1"/>
    </xf>
    <xf borderId="12" fillId="3" fontId="6" numFmtId="0" xfId="0" applyAlignment="1" applyBorder="1" applyFill="1" applyFont="1">
      <alignment horizontal="center" shrinkToFit="0" wrapText="1"/>
    </xf>
    <xf borderId="5" fillId="3" fontId="6" numFmtId="0" xfId="0" applyAlignment="1" applyBorder="1" applyFont="1">
      <alignment horizontal="center" shrinkToFit="0" wrapText="1"/>
    </xf>
    <xf borderId="13" fillId="3" fontId="6" numFmtId="0" xfId="0" applyAlignment="1" applyBorder="1" applyFont="1">
      <alignment horizontal="center" shrinkToFit="0" wrapText="1"/>
    </xf>
    <xf borderId="3" fillId="2" fontId="5" numFmtId="0" xfId="0" applyAlignment="1" applyBorder="1" applyFont="1">
      <alignment readingOrder="0" shrinkToFit="0" vertical="top" wrapText="1"/>
    </xf>
    <xf borderId="11" fillId="2" fontId="5" numFmtId="0" xfId="0" applyAlignment="1" applyBorder="1" applyFont="1">
      <alignment horizontal="center" shrinkToFit="0" wrapText="1"/>
    </xf>
    <xf borderId="11" fillId="2" fontId="1" numFmtId="0" xfId="0" applyBorder="1" applyFont="1"/>
    <xf borderId="11" fillId="2" fontId="5" numFmtId="0" xfId="0" applyAlignment="1" applyBorder="1" applyFont="1">
      <alignment shrinkToFit="0" vertical="top" wrapText="1"/>
    </xf>
    <xf borderId="11" fillId="2" fontId="1" numFmtId="0" xfId="0" applyAlignment="1" applyBorder="1" applyFont="1">
      <alignment vertical="top"/>
    </xf>
    <xf borderId="11" fillId="2" fontId="7" numFmtId="0" xfId="0" applyAlignment="1" applyBorder="1" applyFont="1">
      <alignment readingOrder="0" shrinkToFit="0" vertical="top" wrapText="1"/>
    </xf>
    <xf borderId="12" fillId="4" fontId="5" numFmtId="0" xfId="0" applyAlignment="1" applyBorder="1" applyFill="1" applyFont="1">
      <alignment readingOrder="0" shrinkToFit="0" vertical="top" wrapText="1"/>
    </xf>
    <xf borderId="14" fillId="2" fontId="5" numFmtId="0" xfId="0" applyAlignment="1" applyBorder="1" applyFont="1">
      <alignment horizontal="center" shrinkToFit="0" wrapText="1"/>
    </xf>
    <xf borderId="14" fillId="2" fontId="1" numFmtId="0" xfId="0" applyBorder="1" applyFont="1"/>
    <xf borderId="15" fillId="2" fontId="5" numFmtId="0" xfId="0" applyAlignment="1" applyBorder="1" applyFont="1">
      <alignment shrinkToFit="0" vertical="top" wrapText="1"/>
    </xf>
    <xf borderId="11" fillId="2" fontId="5" numFmtId="0" xfId="0" applyAlignment="1" applyBorder="1" applyFont="1">
      <alignment readingOrder="0" shrinkToFit="0" vertical="top" wrapText="1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3" fillId="2" fontId="5" numFmtId="0" xfId="0" applyAlignment="1" applyBorder="1" applyFont="1">
      <alignment horizontal="center" readingOrder="0" shrinkToFit="0" wrapText="1"/>
    </xf>
    <xf borderId="20" fillId="2" fontId="5" numFmtId="0" xfId="0" applyAlignment="1" applyBorder="1" applyFont="1">
      <alignment readingOrder="0" shrinkToFit="0" vertical="top" wrapText="1"/>
    </xf>
    <xf borderId="12" fillId="2" fontId="5" numFmtId="0" xfId="0" applyAlignment="1" applyBorder="1" applyFont="1">
      <alignment readingOrder="0" shrinkToFit="0" vertical="top" wrapText="1"/>
    </xf>
    <xf borderId="12" fillId="2" fontId="1" numFmtId="0" xfId="0" applyAlignment="1" applyBorder="1" applyFont="1">
      <alignment vertical="top"/>
    </xf>
    <xf borderId="1" fillId="2" fontId="1" numFmtId="0" xfId="0" applyAlignment="1" applyBorder="1" applyFont="1">
      <alignment shrinkToFit="0" vertical="top" wrapText="1"/>
    </xf>
    <xf borderId="2" fillId="2" fontId="1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3" fillId="2" fontId="2" numFmtId="0" xfId="0" applyAlignment="1" applyBorder="1" applyFont="1">
      <alignment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4" fillId="2" fontId="1" numFmtId="0" xfId="0" applyAlignment="1" applyBorder="1" applyFont="1">
      <alignment shrinkToFit="0" vertical="top" wrapText="1"/>
    </xf>
    <xf borderId="5" fillId="2" fontId="1" numFmtId="0" xfId="0" applyAlignment="1" applyBorder="1" applyFont="1">
      <alignment shrinkToFit="0" vertical="top" wrapText="1"/>
    </xf>
    <xf borderId="10" fillId="2" fontId="1" numFmtId="0" xfId="0" applyAlignment="1" applyBorder="1" applyFont="1">
      <alignment shrinkToFit="0" vertical="top" wrapText="1"/>
    </xf>
    <xf borderId="11" fillId="2" fontId="1" numFmtId="0" xfId="0" applyAlignment="1" applyBorder="1" applyFont="1">
      <alignment shrinkToFit="0" vertical="top" wrapText="1"/>
    </xf>
    <xf borderId="3" fillId="2" fontId="2" numFmtId="0" xfId="0" applyAlignment="1" applyBorder="1" applyFont="1">
      <alignment horizontal="center" shrinkToFit="0" vertical="top" wrapText="1"/>
    </xf>
    <xf borderId="5" fillId="2" fontId="2" numFmtId="0" xfId="0" applyAlignment="1" applyBorder="1" applyFont="1">
      <alignment horizontal="center" shrinkToFit="0" vertical="top" wrapText="1"/>
    </xf>
    <xf borderId="11" fillId="2" fontId="2" numFmtId="0" xfId="0" applyAlignment="1" applyBorder="1" applyFont="1">
      <alignment horizontal="center" shrinkToFit="0" vertical="top" wrapText="1"/>
    </xf>
    <xf borderId="3" fillId="2" fontId="5" numFmtId="0" xfId="0" applyAlignment="1" applyBorder="1" applyFont="1">
      <alignment horizontal="center" shrinkToFit="0" vertical="top" wrapText="1"/>
    </xf>
    <xf borderId="11" fillId="2" fontId="5" numFmtId="0" xfId="0" applyAlignment="1" applyBorder="1" applyFont="1">
      <alignment horizontal="center" shrinkToFit="0" vertical="top" wrapText="1"/>
    </xf>
    <xf borderId="1" fillId="2" fontId="5" numFmtId="0" xfId="0" applyAlignment="1" applyBorder="1" applyFont="1">
      <alignment horizontal="center" shrinkToFit="0" vertical="top" wrapText="1"/>
    </xf>
    <xf borderId="12" fillId="3" fontId="6" numFmtId="0" xfId="0" applyAlignment="1" applyBorder="1" applyFont="1">
      <alignment horizontal="center" shrinkToFit="0" vertical="top" wrapText="1"/>
    </xf>
    <xf borderId="5" fillId="3" fontId="6" numFmtId="0" xfId="0" applyAlignment="1" applyBorder="1" applyFont="1">
      <alignment horizontal="center" shrinkToFit="0" vertical="top" wrapText="1"/>
    </xf>
    <xf borderId="21" fillId="3" fontId="6" numFmtId="0" xfId="0" applyAlignment="1" applyBorder="1" applyFont="1">
      <alignment horizontal="center" shrinkToFit="0" vertical="top" wrapText="1"/>
    </xf>
    <xf borderId="22" fillId="2" fontId="5" numFmtId="0" xfId="0" applyAlignment="1" applyBorder="1" applyFont="1">
      <alignment horizontal="center" shrinkToFit="0" vertical="top" wrapText="1"/>
    </xf>
    <xf borderId="12" fillId="2" fontId="5" numFmtId="0" xfId="0" applyAlignment="1" applyBorder="1" applyFont="1">
      <alignment shrinkToFit="0" vertical="top" wrapText="1"/>
    </xf>
    <xf borderId="12" fillId="2" fontId="1" numFmtId="0" xfId="0" applyAlignment="1" applyBorder="1" applyFont="1">
      <alignment shrinkToFit="0" vertical="top" wrapText="1"/>
    </xf>
    <xf borderId="12" fillId="2" fontId="5" numFmtId="0" xfId="0" applyAlignment="1" applyBorder="1" applyFont="1">
      <alignment shrinkToFit="0" vertical="top" wrapText="1"/>
    </xf>
    <xf borderId="22" fillId="2" fontId="1" numFmtId="0" xfId="0" applyAlignment="1" applyBorder="1" applyFont="1">
      <alignment shrinkToFit="0" vertical="top" wrapText="1"/>
    </xf>
    <xf borderId="22" fillId="2" fontId="5" numFmtId="0" xfId="0" applyAlignment="1" applyBorder="1" applyFont="1">
      <alignment readingOrder="0" shrinkToFit="0" vertical="top" wrapText="1"/>
    </xf>
    <xf borderId="12" fillId="2" fontId="1" numFmtId="0" xfId="0" applyAlignment="1" applyBorder="1" applyFont="1">
      <alignment shrinkToFit="0" vertical="top" wrapText="1"/>
    </xf>
    <xf borderId="22" fillId="2" fontId="5" numFmtId="0" xfId="0" applyAlignment="1" applyBorder="1" applyFont="1">
      <alignment horizontal="center" readingOrder="0" shrinkToFit="0" vertical="top" wrapText="1"/>
    </xf>
    <xf borderId="22" fillId="2" fontId="1" numFmtId="0" xfId="0" applyAlignment="1" applyBorder="1" applyFont="1">
      <alignment readingOrder="0" shrinkToFit="0" vertical="top" wrapText="1"/>
    </xf>
    <xf borderId="12" fillId="0" fontId="8" numFmtId="0" xfId="0" applyAlignment="1" applyBorder="1" applyFont="1">
      <alignment readingOrder="0" shrinkToFit="0" vertical="top" wrapText="1"/>
    </xf>
    <xf borderId="12" fillId="0" fontId="8" numFmtId="0" xfId="0" applyAlignment="1" applyBorder="1" applyFont="1">
      <alignment shrinkToFit="0" vertical="top" wrapText="1"/>
    </xf>
    <xf borderId="22" fillId="0" fontId="8" numFmtId="0" xfId="0" applyAlignment="1" applyBorder="1" applyFont="1">
      <alignment readingOrder="0" shrinkToFit="0" vertical="top" wrapText="1"/>
    </xf>
    <xf borderId="12" fillId="0" fontId="9" numFmtId="0" xfId="0" applyAlignment="1" applyBorder="1" applyFont="1">
      <alignment shrinkToFit="0" vertical="top" wrapText="1"/>
    </xf>
    <xf borderId="12" fillId="0" fontId="9" numFmtId="0" xfId="0" applyAlignment="1" applyBorder="1" applyFont="1">
      <alignment readingOrder="0" shrinkToFit="0" vertical="top" wrapText="1"/>
    </xf>
    <xf borderId="0" fillId="0" fontId="9" numFmtId="0" xfId="0" applyAlignment="1" applyFont="1">
      <alignment shrinkToFit="0" vertical="top" wrapText="1"/>
    </xf>
    <xf borderId="22" fillId="0" fontId="8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6" max="6" width="35.0"/>
    <col customWidth="1" min="8" max="8" width="36.5"/>
  </cols>
  <sheetData>
    <row r="1">
      <c r="A1" s="1"/>
      <c r="B1" s="1"/>
      <c r="C1" s="1"/>
      <c r="D1" s="2"/>
      <c r="E1" s="2"/>
      <c r="F1" s="2"/>
      <c r="G1" s="2"/>
      <c r="H1" s="2"/>
      <c r="I1" s="2"/>
      <c r="J1" s="2"/>
    </row>
    <row r="2">
      <c r="A2" s="3" t="s">
        <v>0</v>
      </c>
      <c r="B2" s="4" t="s">
        <v>1</v>
      </c>
      <c r="C2" s="1"/>
      <c r="D2" s="5"/>
      <c r="E2" s="6"/>
      <c r="F2" s="2"/>
      <c r="G2" s="2"/>
      <c r="H2" s="2"/>
      <c r="I2" s="2"/>
      <c r="J2" s="2"/>
    </row>
    <row r="3">
      <c r="A3" s="7" t="s">
        <v>2</v>
      </c>
      <c r="B3" s="8" t="s">
        <v>3</v>
      </c>
      <c r="C3" s="9"/>
      <c r="D3" s="9"/>
      <c r="E3" s="10"/>
      <c r="F3" s="2"/>
      <c r="G3" s="2"/>
      <c r="H3" s="2"/>
      <c r="I3" s="2"/>
      <c r="J3" s="2"/>
    </row>
    <row r="4">
      <c r="A4" s="3" t="s">
        <v>4</v>
      </c>
      <c r="B4" s="2"/>
      <c r="C4" s="2"/>
      <c r="D4" s="11"/>
      <c r="E4" s="12"/>
      <c r="F4" s="2"/>
      <c r="G4" s="2"/>
      <c r="H4" s="2"/>
      <c r="I4" s="2"/>
      <c r="J4" s="2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5" t="s">
        <v>9</v>
      </c>
      <c r="F5" s="2"/>
      <c r="G5" s="2"/>
      <c r="H5" s="2"/>
      <c r="I5" s="2"/>
      <c r="J5" s="2"/>
    </row>
    <row r="6">
      <c r="A6" s="16">
        <f>COUNTIF(I9:I996,"Pass")</f>
        <v>1</v>
      </c>
      <c r="B6" s="17">
        <f>COUNTIF(I9:I996,"Fail")</f>
        <v>0</v>
      </c>
      <c r="C6" s="17">
        <f>E6-D6-A6-B6</f>
        <v>9</v>
      </c>
      <c r="D6" s="18">
        <f>COUNTIF(H$9:I$1009,"N/A")</f>
        <v>0</v>
      </c>
      <c r="E6" s="16">
        <f>COUNTA(A9:A1013)</f>
        <v>10</v>
      </c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>
      <c r="A8" s="19" t="s">
        <v>10</v>
      </c>
      <c r="B8" s="20" t="s">
        <v>11</v>
      </c>
      <c r="C8" s="20" t="s">
        <v>12</v>
      </c>
      <c r="D8" s="20" t="s">
        <v>13</v>
      </c>
      <c r="E8" s="20" t="s">
        <v>14</v>
      </c>
      <c r="F8" s="20" t="s">
        <v>15</v>
      </c>
      <c r="G8" s="20" t="s">
        <v>16</v>
      </c>
      <c r="H8" s="20" t="s">
        <v>17</v>
      </c>
      <c r="I8" s="21" t="s">
        <v>18</v>
      </c>
      <c r="J8" s="20" t="s">
        <v>19</v>
      </c>
    </row>
    <row r="9">
      <c r="A9" s="22">
        <v>1.0</v>
      </c>
      <c r="B9" s="23" t="s">
        <v>20</v>
      </c>
      <c r="C9" s="24"/>
      <c r="D9" s="25" t="s">
        <v>21</v>
      </c>
      <c r="E9" s="26"/>
      <c r="F9" s="27" t="s">
        <v>22</v>
      </c>
      <c r="G9" s="26"/>
      <c r="H9" s="25" t="s">
        <v>23</v>
      </c>
      <c r="I9" s="28" t="s">
        <v>5</v>
      </c>
      <c r="J9" s="26"/>
    </row>
    <row r="10">
      <c r="A10" s="22">
        <v>2.0</v>
      </c>
      <c r="B10" s="29" t="s">
        <v>24</v>
      </c>
      <c r="C10" s="30"/>
      <c r="D10" s="25" t="s">
        <v>25</v>
      </c>
      <c r="E10" s="31" t="s">
        <v>26</v>
      </c>
      <c r="F10" s="25" t="s">
        <v>27</v>
      </c>
      <c r="G10" s="26"/>
      <c r="H10" s="32" t="s">
        <v>28</v>
      </c>
      <c r="I10" s="26"/>
      <c r="J10" s="26"/>
    </row>
    <row r="11">
      <c r="A11" s="22">
        <v>3.0</v>
      </c>
      <c r="B11" s="33"/>
      <c r="C11" s="33"/>
      <c r="D11" s="25" t="s">
        <v>29</v>
      </c>
      <c r="E11" s="34"/>
      <c r="F11" s="25" t="s">
        <v>30</v>
      </c>
      <c r="G11" s="26"/>
      <c r="H11" s="25" t="s">
        <v>31</v>
      </c>
      <c r="I11" s="26"/>
      <c r="J11" s="26"/>
    </row>
    <row r="12">
      <c r="A12" s="22">
        <v>4.0</v>
      </c>
      <c r="B12" s="33"/>
      <c r="C12" s="33"/>
      <c r="D12" s="25" t="s">
        <v>32</v>
      </c>
      <c r="E12" s="34"/>
      <c r="F12" s="25" t="s">
        <v>32</v>
      </c>
      <c r="G12" s="26"/>
      <c r="H12" s="32" t="s">
        <v>33</v>
      </c>
      <c r="I12" s="26"/>
      <c r="J12" s="26"/>
    </row>
    <row r="13">
      <c r="A13" s="22">
        <v>5.0</v>
      </c>
      <c r="B13" s="35"/>
      <c r="C13" s="35"/>
      <c r="D13" s="25" t="s">
        <v>34</v>
      </c>
      <c r="E13" s="36"/>
      <c r="F13" s="25" t="s">
        <v>34</v>
      </c>
      <c r="G13" s="26"/>
      <c r="H13" s="25" t="s">
        <v>35</v>
      </c>
      <c r="I13" s="26"/>
      <c r="J13" s="26"/>
    </row>
    <row r="14">
      <c r="A14" s="22">
        <v>6.0</v>
      </c>
      <c r="B14" s="29" t="s">
        <v>36</v>
      </c>
      <c r="C14" s="37" t="s">
        <v>37</v>
      </c>
      <c r="D14" s="32" t="s">
        <v>38</v>
      </c>
      <c r="E14" s="31" t="s">
        <v>39</v>
      </c>
      <c r="F14" s="32" t="s">
        <v>40</v>
      </c>
      <c r="G14" s="26"/>
      <c r="H14" s="32" t="s">
        <v>41</v>
      </c>
      <c r="I14" s="26"/>
      <c r="J14" s="26"/>
    </row>
    <row r="15">
      <c r="A15" s="22">
        <v>7.0</v>
      </c>
      <c r="B15" s="35"/>
      <c r="C15" s="23" t="s">
        <v>42</v>
      </c>
      <c r="D15" s="25" t="s">
        <v>43</v>
      </c>
      <c r="E15" s="36"/>
      <c r="F15" s="32" t="s">
        <v>44</v>
      </c>
      <c r="G15" s="26"/>
      <c r="H15" s="32" t="s">
        <v>45</v>
      </c>
      <c r="I15" s="26"/>
      <c r="J15" s="26"/>
    </row>
    <row r="16">
      <c r="A16" s="22">
        <v>8.0</v>
      </c>
      <c r="B16" s="29" t="s">
        <v>46</v>
      </c>
      <c r="C16" s="29" t="s">
        <v>1</v>
      </c>
      <c r="D16" s="25" t="s">
        <v>47</v>
      </c>
      <c r="E16" s="38" t="s">
        <v>48</v>
      </c>
      <c r="F16" s="32" t="s">
        <v>49</v>
      </c>
      <c r="G16" s="32" t="s">
        <v>50</v>
      </c>
      <c r="H16" s="25" t="s">
        <v>51</v>
      </c>
      <c r="I16" s="26"/>
      <c r="J16" s="26"/>
    </row>
    <row r="17">
      <c r="A17" s="22">
        <v>9.0</v>
      </c>
      <c r="B17" s="33"/>
      <c r="C17" s="33"/>
      <c r="D17" s="32" t="s">
        <v>52</v>
      </c>
      <c r="E17" s="39" t="s">
        <v>53</v>
      </c>
      <c r="F17" s="32" t="s">
        <v>54</v>
      </c>
      <c r="G17" s="32" t="s">
        <v>55</v>
      </c>
      <c r="H17" s="32" t="s">
        <v>56</v>
      </c>
      <c r="I17" s="26"/>
      <c r="J17" s="26"/>
    </row>
    <row r="18">
      <c r="A18" s="22">
        <v>10.0</v>
      </c>
      <c r="B18" s="35"/>
      <c r="C18" s="35"/>
      <c r="D18" s="25" t="s">
        <v>57</v>
      </c>
      <c r="E18" s="40"/>
      <c r="F18" s="32" t="s">
        <v>58</v>
      </c>
      <c r="G18" s="32" t="s">
        <v>59</v>
      </c>
      <c r="H18" s="32" t="s">
        <v>60</v>
      </c>
      <c r="I18" s="26"/>
      <c r="J18" s="26"/>
    </row>
  </sheetData>
  <mergeCells count="8">
    <mergeCell ref="B3:E3"/>
    <mergeCell ref="B10:B13"/>
    <mergeCell ref="C10:C13"/>
    <mergeCell ref="E10:E13"/>
    <mergeCell ref="B14:B15"/>
    <mergeCell ref="E14:E15"/>
    <mergeCell ref="B16:B18"/>
    <mergeCell ref="C16:C18"/>
  </mergeCells>
  <dataValidations>
    <dataValidation type="list" allowBlank="1" showInputMessage="1" showErrorMessage="1" prompt="Nhấp và nhập một giá trị từ danh sách các mục" sqref="I9:I18">
      <formula1>"Pass,Fail,Untested,N/A"</formula1>
    </dataValidation>
    <dataValidation type="list" allowBlank="1" showInputMessage="1" showErrorMessage="1" prompt=" - " sqref="I1:I3 I7:I8">
      <formula1>$L$2:$L$6</formula1>
    </dataValidation>
  </dataValidations>
  <hyperlinks>
    <hyperlink r:id="rId1" ref="F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4" max="4" width="26.5"/>
    <col customWidth="1" min="5" max="5" width="30.88"/>
    <col customWidth="1" min="6" max="6" width="35.0"/>
    <col customWidth="1" min="8" max="8" width="36.5"/>
  </cols>
  <sheetData>
    <row r="1">
      <c r="A1" s="41"/>
      <c r="B1" s="41"/>
      <c r="C1" s="41"/>
      <c r="D1" s="42"/>
      <c r="E1" s="42"/>
      <c r="F1" s="42"/>
      <c r="G1" s="42"/>
      <c r="H1" s="42"/>
      <c r="I1" s="42"/>
      <c r="J1" s="42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>
      <c r="A2" s="44" t="s">
        <v>0</v>
      </c>
      <c r="B2" s="45" t="s">
        <v>61</v>
      </c>
      <c r="C2" s="41"/>
      <c r="D2" s="46"/>
      <c r="E2" s="47"/>
      <c r="F2" s="42"/>
      <c r="G2" s="42"/>
      <c r="H2" s="42"/>
      <c r="I2" s="42"/>
      <c r="J2" s="42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>
      <c r="A3" s="7" t="s">
        <v>2</v>
      </c>
      <c r="B3" s="8" t="s">
        <v>3</v>
      </c>
      <c r="C3" s="9"/>
      <c r="D3" s="9"/>
      <c r="E3" s="10"/>
      <c r="F3" s="42"/>
      <c r="G3" s="42"/>
      <c r="H3" s="42"/>
      <c r="I3" s="42"/>
      <c r="J3" s="42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>
      <c r="A4" s="44" t="s">
        <v>4</v>
      </c>
      <c r="B4" s="42"/>
      <c r="C4" s="42"/>
      <c r="D4" s="48"/>
      <c r="E4" s="49"/>
      <c r="F4" s="42"/>
      <c r="G4" s="42"/>
      <c r="H4" s="42"/>
      <c r="I4" s="42"/>
      <c r="J4" s="42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>
      <c r="A5" s="50" t="s">
        <v>5</v>
      </c>
      <c r="B5" s="51" t="s">
        <v>6</v>
      </c>
      <c r="C5" s="51" t="s">
        <v>7</v>
      </c>
      <c r="D5" s="51" t="s">
        <v>8</v>
      </c>
      <c r="E5" s="52" t="s">
        <v>9</v>
      </c>
      <c r="F5" s="42"/>
      <c r="G5" s="42"/>
      <c r="H5" s="42"/>
      <c r="I5" s="42"/>
      <c r="J5" s="42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>
      <c r="A6" s="53">
        <f>COUNTIF(I9:I995,"Pass")</f>
        <v>0</v>
      </c>
      <c r="B6" s="54">
        <f>COUNTIF(I9:I995,"Fail")</f>
        <v>0</v>
      </c>
      <c r="C6" s="54">
        <f>E6-D6-A6-B6</f>
        <v>99</v>
      </c>
      <c r="D6" s="55">
        <f>COUNTIF(H$9:I$1008,"N/A")</f>
        <v>0</v>
      </c>
      <c r="E6" s="53">
        <f>COUNTA(A9:A1012)</f>
        <v>99</v>
      </c>
      <c r="F6" s="42"/>
      <c r="G6" s="42"/>
      <c r="H6" s="42"/>
      <c r="I6" s="42"/>
      <c r="J6" s="42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</row>
    <row r="7">
      <c r="A7" s="42"/>
      <c r="B7" s="42"/>
      <c r="C7" s="42"/>
      <c r="D7" s="42"/>
      <c r="E7" s="42"/>
      <c r="F7" s="42"/>
      <c r="G7" s="42"/>
      <c r="H7" s="42"/>
      <c r="I7" s="42"/>
      <c r="J7" s="42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>
      <c r="A8" s="56" t="s">
        <v>10</v>
      </c>
      <c r="B8" s="57" t="s">
        <v>11</v>
      </c>
      <c r="C8" s="57" t="s">
        <v>12</v>
      </c>
      <c r="D8" s="57" t="s">
        <v>13</v>
      </c>
      <c r="E8" s="57" t="s">
        <v>14</v>
      </c>
      <c r="F8" s="57" t="s">
        <v>15</v>
      </c>
      <c r="G8" s="57" t="s">
        <v>16</v>
      </c>
      <c r="H8" s="57" t="s">
        <v>17</v>
      </c>
      <c r="I8" s="58" t="s">
        <v>18</v>
      </c>
      <c r="J8" s="57" t="s">
        <v>19</v>
      </c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</row>
    <row r="9">
      <c r="A9" s="39">
        <v>1.0</v>
      </c>
      <c r="B9" s="59"/>
      <c r="C9" s="59" t="s">
        <v>62</v>
      </c>
      <c r="D9" s="60" t="s">
        <v>63</v>
      </c>
      <c r="E9" s="60" t="s">
        <v>64</v>
      </c>
      <c r="F9" s="60" t="s">
        <v>65</v>
      </c>
      <c r="G9" s="61"/>
      <c r="H9" s="39" t="s">
        <v>66</v>
      </c>
      <c r="I9" s="61"/>
      <c r="J9" s="61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>
      <c r="A10" s="39">
        <v>2.0</v>
      </c>
      <c r="B10" s="33"/>
      <c r="C10" s="33"/>
      <c r="D10" s="39" t="s">
        <v>67</v>
      </c>
      <c r="E10" s="60" t="s">
        <v>68</v>
      </c>
      <c r="F10" s="60" t="s">
        <v>65</v>
      </c>
      <c r="G10" s="61"/>
      <c r="H10" s="62" t="s">
        <v>69</v>
      </c>
      <c r="I10" s="61"/>
      <c r="J10" s="61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>
      <c r="A11" s="39">
        <v>3.0</v>
      </c>
      <c r="B11" s="35"/>
      <c r="C11" s="35"/>
      <c r="D11" s="39" t="s">
        <v>70</v>
      </c>
      <c r="E11" s="61"/>
      <c r="F11" s="60" t="s">
        <v>71</v>
      </c>
      <c r="G11" s="61"/>
      <c r="H11" s="60" t="s">
        <v>69</v>
      </c>
      <c r="I11" s="61"/>
      <c r="J11" s="61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>
      <c r="A12" s="39">
        <v>4.0</v>
      </c>
      <c r="B12" s="59" t="s">
        <v>24</v>
      </c>
      <c r="C12" s="63"/>
      <c r="D12" s="62" t="s">
        <v>72</v>
      </c>
      <c r="E12" s="64" t="s">
        <v>73</v>
      </c>
      <c r="F12" s="62" t="s">
        <v>72</v>
      </c>
      <c r="G12" s="61"/>
      <c r="H12" s="39" t="s">
        <v>74</v>
      </c>
      <c r="I12" s="61"/>
      <c r="J12" s="61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>
      <c r="A13" s="39">
        <v>5.0</v>
      </c>
      <c r="B13" s="33"/>
      <c r="C13" s="33"/>
      <c r="D13" s="60" t="s">
        <v>75</v>
      </c>
      <c r="E13" s="33"/>
      <c r="F13" s="62" t="s">
        <v>75</v>
      </c>
      <c r="G13" s="61"/>
      <c r="H13" s="62" t="s">
        <v>76</v>
      </c>
      <c r="I13" s="61"/>
      <c r="J13" s="61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>
      <c r="A14" s="39">
        <v>6.0</v>
      </c>
      <c r="B14" s="33"/>
      <c r="C14" s="33"/>
      <c r="D14" s="60" t="s">
        <v>77</v>
      </c>
      <c r="E14" s="33"/>
      <c r="F14" s="62" t="s">
        <v>78</v>
      </c>
      <c r="G14" s="65"/>
      <c r="H14" s="60" t="s">
        <v>79</v>
      </c>
      <c r="I14" s="61"/>
      <c r="J14" s="61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>
      <c r="A15" s="39">
        <v>7.0</v>
      </c>
      <c r="B15" s="35"/>
      <c r="C15" s="35"/>
      <c r="D15" s="62" t="s">
        <v>80</v>
      </c>
      <c r="E15" s="35"/>
      <c r="F15" s="62" t="s">
        <v>81</v>
      </c>
      <c r="G15" s="65"/>
      <c r="H15" s="62"/>
      <c r="I15" s="61"/>
      <c r="J15" s="61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>
      <c r="A16" s="39">
        <v>8.0</v>
      </c>
      <c r="B16" s="66" t="s">
        <v>82</v>
      </c>
      <c r="C16" s="59"/>
      <c r="D16" s="39" t="s">
        <v>80</v>
      </c>
      <c r="E16" s="67" t="s">
        <v>73</v>
      </c>
      <c r="F16" s="62" t="s">
        <v>81</v>
      </c>
      <c r="G16" s="39"/>
      <c r="H16" s="39" t="s">
        <v>83</v>
      </c>
      <c r="I16" s="61"/>
      <c r="J16" s="61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>
      <c r="A17" s="39">
        <v>9.0</v>
      </c>
      <c r="B17" s="33"/>
      <c r="C17" s="33"/>
      <c r="D17" s="68" t="s">
        <v>84</v>
      </c>
      <c r="E17" s="33"/>
      <c r="F17" s="68" t="s">
        <v>85</v>
      </c>
      <c r="G17" s="69"/>
      <c r="H17" s="68" t="s">
        <v>86</v>
      </c>
      <c r="I17" s="61"/>
      <c r="J17" s="69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</row>
    <row r="18">
      <c r="A18" s="39">
        <v>10.0</v>
      </c>
      <c r="B18" s="33"/>
      <c r="C18" s="33"/>
      <c r="D18" s="68" t="s">
        <v>87</v>
      </c>
      <c r="E18" s="33"/>
      <c r="F18" s="68" t="s">
        <v>88</v>
      </c>
      <c r="G18" s="69"/>
      <c r="H18" s="68" t="s">
        <v>89</v>
      </c>
      <c r="I18" s="61"/>
      <c r="J18" s="69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>
      <c r="A19" s="39">
        <v>11.0</v>
      </c>
      <c r="B19" s="35"/>
      <c r="C19" s="35"/>
      <c r="D19" s="68" t="s">
        <v>90</v>
      </c>
      <c r="E19" s="35"/>
      <c r="F19" s="68" t="s">
        <v>91</v>
      </c>
      <c r="G19" s="69"/>
      <c r="H19" s="68" t="s">
        <v>92</v>
      </c>
      <c r="I19" s="61"/>
      <c r="J19" s="69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>
      <c r="A20" s="39">
        <v>12.0</v>
      </c>
      <c r="B20" s="70" t="s">
        <v>93</v>
      </c>
      <c r="C20" s="70" t="s">
        <v>94</v>
      </c>
      <c r="D20" s="69"/>
      <c r="E20" s="70" t="s">
        <v>73</v>
      </c>
      <c r="F20" s="68" t="s">
        <v>95</v>
      </c>
      <c r="G20" s="69"/>
      <c r="H20" s="68" t="s">
        <v>96</v>
      </c>
      <c r="I20" s="61"/>
      <c r="J20" s="69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>
      <c r="A21" s="39">
        <v>13.0</v>
      </c>
      <c r="B21" s="33"/>
      <c r="C21" s="33"/>
      <c r="D21" s="69"/>
      <c r="E21" s="33"/>
      <c r="F21" s="68" t="s">
        <v>97</v>
      </c>
      <c r="G21" s="69"/>
      <c r="H21" s="68" t="s">
        <v>98</v>
      </c>
      <c r="I21" s="61"/>
      <c r="J21" s="69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>
      <c r="A22" s="39">
        <v>14.0</v>
      </c>
      <c r="B22" s="33"/>
      <c r="C22" s="35"/>
      <c r="D22" s="69"/>
      <c r="E22" s="33"/>
      <c r="F22" s="68" t="s">
        <v>99</v>
      </c>
      <c r="G22" s="69"/>
      <c r="H22" s="68" t="s">
        <v>100</v>
      </c>
      <c r="I22" s="61"/>
      <c r="J22" s="69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>
      <c r="A23" s="39">
        <v>15.0</v>
      </c>
      <c r="B23" s="33"/>
      <c r="C23" s="70" t="s">
        <v>101</v>
      </c>
      <c r="D23" s="69"/>
      <c r="E23" s="33"/>
      <c r="F23" s="68" t="s">
        <v>95</v>
      </c>
      <c r="G23" s="69"/>
      <c r="H23" s="68" t="s">
        <v>95</v>
      </c>
      <c r="I23" s="61"/>
      <c r="J23" s="69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>
      <c r="A24" s="39">
        <v>16.0</v>
      </c>
      <c r="B24" s="33"/>
      <c r="C24" s="33"/>
      <c r="D24" s="69"/>
      <c r="E24" s="33"/>
      <c r="F24" s="68" t="s">
        <v>102</v>
      </c>
      <c r="G24" s="69"/>
      <c r="H24" s="68" t="s">
        <v>98</v>
      </c>
      <c r="I24" s="61"/>
      <c r="J24" s="69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>
      <c r="A25" s="39">
        <v>17.0</v>
      </c>
      <c r="B25" s="33"/>
      <c r="C25" s="35"/>
      <c r="D25" s="69"/>
      <c r="E25" s="33"/>
      <c r="F25" s="68" t="s">
        <v>103</v>
      </c>
      <c r="G25" s="69"/>
      <c r="H25" s="68" t="s">
        <v>104</v>
      </c>
      <c r="I25" s="61"/>
      <c r="J25" s="69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>
      <c r="A26" s="39">
        <v>18.0</v>
      </c>
      <c r="B26" s="33"/>
      <c r="C26" s="70" t="s">
        <v>105</v>
      </c>
      <c r="D26" s="69"/>
      <c r="E26" s="33"/>
      <c r="F26" s="68" t="s">
        <v>106</v>
      </c>
      <c r="G26" s="69"/>
      <c r="H26" s="68" t="s">
        <v>107</v>
      </c>
      <c r="I26" s="61"/>
      <c r="J26" s="69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>
      <c r="A27" s="39">
        <v>19.0</v>
      </c>
      <c r="B27" s="33"/>
      <c r="C27" s="33"/>
      <c r="D27" s="69"/>
      <c r="E27" s="33"/>
      <c r="F27" s="68" t="s">
        <v>108</v>
      </c>
      <c r="G27" s="69"/>
      <c r="H27" s="68" t="s">
        <v>109</v>
      </c>
      <c r="I27" s="61"/>
      <c r="J27" s="69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>
      <c r="A28" s="39">
        <v>20.0</v>
      </c>
      <c r="B28" s="33"/>
      <c r="C28" s="35"/>
      <c r="D28" s="69"/>
      <c r="E28" s="33"/>
      <c r="F28" s="68" t="s">
        <v>110</v>
      </c>
      <c r="G28" s="69"/>
      <c r="H28" s="68" t="s">
        <v>111</v>
      </c>
      <c r="I28" s="61"/>
      <c r="J28" s="69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>
      <c r="A29" s="39">
        <v>21.0</v>
      </c>
      <c r="B29" s="33"/>
      <c r="C29" s="70" t="s">
        <v>112</v>
      </c>
      <c r="D29" s="69"/>
      <c r="E29" s="33"/>
      <c r="F29" s="68" t="s">
        <v>113</v>
      </c>
      <c r="G29" s="69"/>
      <c r="H29" s="68" t="s">
        <v>114</v>
      </c>
      <c r="I29" s="61"/>
      <c r="J29" s="69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>
      <c r="A30" s="39">
        <v>22.0</v>
      </c>
      <c r="B30" s="33"/>
      <c r="C30" s="33"/>
      <c r="D30" s="69"/>
      <c r="E30" s="33"/>
      <c r="F30" s="68" t="s">
        <v>115</v>
      </c>
      <c r="G30" s="69"/>
      <c r="H30" s="68" t="s">
        <v>116</v>
      </c>
      <c r="I30" s="61"/>
      <c r="J30" s="69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>
      <c r="A31" s="39">
        <v>23.0</v>
      </c>
      <c r="B31" s="33"/>
      <c r="C31" s="33"/>
      <c r="D31" s="69"/>
      <c r="E31" s="33"/>
      <c r="F31" s="68" t="s">
        <v>117</v>
      </c>
      <c r="G31" s="69"/>
      <c r="H31" s="69"/>
      <c r="I31" s="61"/>
      <c r="J31" s="69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>
      <c r="A32" s="39">
        <v>24.0</v>
      </c>
      <c r="B32" s="33"/>
      <c r="C32" s="35"/>
      <c r="D32" s="69"/>
      <c r="E32" s="33"/>
      <c r="F32" s="68" t="s">
        <v>118</v>
      </c>
      <c r="G32" s="69"/>
      <c r="H32" s="68" t="s">
        <v>100</v>
      </c>
      <c r="I32" s="61"/>
      <c r="J32" s="69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>
      <c r="A33" s="39">
        <v>25.0</v>
      </c>
      <c r="B33" s="33"/>
      <c r="C33" s="70" t="s">
        <v>119</v>
      </c>
      <c r="D33" s="69"/>
      <c r="E33" s="33"/>
      <c r="F33" s="68" t="s">
        <v>120</v>
      </c>
      <c r="G33" s="69"/>
      <c r="H33" s="68" t="s">
        <v>121</v>
      </c>
      <c r="I33" s="61"/>
      <c r="J33" s="69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>
      <c r="A34" s="39">
        <v>26.0</v>
      </c>
      <c r="B34" s="33"/>
      <c r="C34" s="33"/>
      <c r="D34" s="69"/>
      <c r="E34" s="33"/>
      <c r="F34" s="68" t="s">
        <v>122</v>
      </c>
      <c r="G34" s="69"/>
      <c r="H34" s="68" t="s">
        <v>123</v>
      </c>
      <c r="I34" s="61"/>
      <c r="J34" s="69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>
      <c r="A35" s="39">
        <v>27.0</v>
      </c>
      <c r="B35" s="35"/>
      <c r="C35" s="35"/>
      <c r="D35" s="69"/>
      <c r="E35" s="35"/>
      <c r="F35" s="68" t="s">
        <v>124</v>
      </c>
      <c r="G35" s="69"/>
      <c r="H35" s="68" t="s">
        <v>125</v>
      </c>
      <c r="I35" s="61"/>
      <c r="J35" s="69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>
      <c r="A36" s="39">
        <v>28.0</v>
      </c>
      <c r="B36" s="70" t="s">
        <v>126</v>
      </c>
      <c r="C36" s="70" t="s">
        <v>94</v>
      </c>
      <c r="D36" s="69"/>
      <c r="E36" s="70" t="s">
        <v>127</v>
      </c>
      <c r="F36" s="68" t="s">
        <v>95</v>
      </c>
      <c r="G36" s="69"/>
      <c r="H36" s="68" t="s">
        <v>96</v>
      </c>
      <c r="I36" s="61"/>
      <c r="J36" s="69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>
      <c r="A37" s="39">
        <v>29.0</v>
      </c>
      <c r="B37" s="33"/>
      <c r="C37" s="35"/>
      <c r="D37" s="69"/>
      <c r="E37" s="33"/>
      <c r="F37" s="68" t="s">
        <v>97</v>
      </c>
      <c r="G37" s="69"/>
      <c r="H37" s="68" t="s">
        <v>98</v>
      </c>
      <c r="I37" s="61"/>
      <c r="J37" s="69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>
      <c r="A38" s="39">
        <v>30.0</v>
      </c>
      <c r="B38" s="33"/>
      <c r="C38" s="70" t="s">
        <v>101</v>
      </c>
      <c r="D38" s="69"/>
      <c r="E38" s="33"/>
      <c r="F38" s="68" t="s">
        <v>95</v>
      </c>
      <c r="G38" s="69"/>
      <c r="H38" s="68" t="s">
        <v>95</v>
      </c>
      <c r="I38" s="61"/>
      <c r="J38" s="69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>
      <c r="A39" s="39">
        <v>31.0</v>
      </c>
      <c r="B39" s="33"/>
      <c r="C39" s="33"/>
      <c r="D39" s="69"/>
      <c r="E39" s="33"/>
      <c r="F39" s="68" t="s">
        <v>102</v>
      </c>
      <c r="G39" s="69"/>
      <c r="H39" s="68" t="s">
        <v>98</v>
      </c>
      <c r="I39" s="61"/>
      <c r="J39" s="69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>
      <c r="A40" s="39">
        <v>32.0</v>
      </c>
      <c r="B40" s="33"/>
      <c r="C40" s="35"/>
      <c r="D40" s="69"/>
      <c r="E40" s="33"/>
      <c r="F40" s="68" t="s">
        <v>103</v>
      </c>
      <c r="G40" s="69"/>
      <c r="H40" s="68" t="s">
        <v>104</v>
      </c>
      <c r="I40" s="61"/>
      <c r="J40" s="69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>
      <c r="A41" s="39">
        <v>33.0</v>
      </c>
      <c r="B41" s="33"/>
      <c r="C41" s="70" t="s">
        <v>105</v>
      </c>
      <c r="D41" s="69"/>
      <c r="E41" s="33"/>
      <c r="F41" s="68" t="s">
        <v>106</v>
      </c>
      <c r="G41" s="69"/>
      <c r="H41" s="68" t="s">
        <v>107</v>
      </c>
      <c r="I41" s="61"/>
      <c r="J41" s="69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>
      <c r="A42" s="39">
        <v>34.0</v>
      </c>
      <c r="B42" s="33"/>
      <c r="C42" s="33"/>
      <c r="D42" s="69"/>
      <c r="E42" s="33"/>
      <c r="F42" s="68" t="s">
        <v>108</v>
      </c>
      <c r="G42" s="69"/>
      <c r="H42" s="68" t="s">
        <v>109</v>
      </c>
      <c r="I42" s="61"/>
      <c r="J42" s="69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>
      <c r="A43" s="39">
        <v>35.0</v>
      </c>
      <c r="B43" s="33"/>
      <c r="C43" s="35"/>
      <c r="D43" s="69"/>
      <c r="E43" s="33"/>
      <c r="F43" s="68" t="s">
        <v>110</v>
      </c>
      <c r="G43" s="69"/>
      <c r="H43" s="68" t="s">
        <v>111</v>
      </c>
      <c r="I43" s="61"/>
      <c r="J43" s="69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>
      <c r="A44" s="39">
        <v>36.0</v>
      </c>
      <c r="B44" s="33"/>
      <c r="C44" s="70" t="s">
        <v>112</v>
      </c>
      <c r="D44" s="69"/>
      <c r="E44" s="33"/>
      <c r="F44" s="68" t="s">
        <v>113</v>
      </c>
      <c r="G44" s="69"/>
      <c r="H44" s="68" t="s">
        <v>114</v>
      </c>
      <c r="I44" s="61"/>
      <c r="J44" s="69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>
      <c r="A45" s="39">
        <v>37.0</v>
      </c>
      <c r="B45" s="33"/>
      <c r="C45" s="33"/>
      <c r="D45" s="69"/>
      <c r="E45" s="33"/>
      <c r="F45" s="68" t="s">
        <v>115</v>
      </c>
      <c r="G45" s="69"/>
      <c r="H45" s="68" t="s">
        <v>116</v>
      </c>
      <c r="I45" s="61"/>
      <c r="J45" s="69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>
      <c r="A46" s="39">
        <v>38.0</v>
      </c>
      <c r="B46" s="33"/>
      <c r="C46" s="35"/>
      <c r="D46" s="69"/>
      <c r="E46" s="33"/>
      <c r="F46" s="68" t="s">
        <v>117</v>
      </c>
      <c r="G46" s="69"/>
      <c r="H46" s="69"/>
      <c r="I46" s="61"/>
      <c r="J46" s="69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>
      <c r="A47" s="39">
        <v>39.0</v>
      </c>
      <c r="B47" s="33"/>
      <c r="C47" s="70" t="s">
        <v>119</v>
      </c>
      <c r="D47" s="69"/>
      <c r="E47" s="33"/>
      <c r="F47" s="68" t="s">
        <v>120</v>
      </c>
      <c r="G47" s="69"/>
      <c r="H47" s="68" t="s">
        <v>121</v>
      </c>
      <c r="I47" s="61"/>
      <c r="J47" s="69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>
      <c r="A48" s="39">
        <v>40.0</v>
      </c>
      <c r="B48" s="33"/>
      <c r="C48" s="33"/>
      <c r="D48" s="69"/>
      <c r="E48" s="33"/>
      <c r="F48" s="68" t="s">
        <v>122</v>
      </c>
      <c r="G48" s="69"/>
      <c r="H48" s="68" t="s">
        <v>123</v>
      </c>
      <c r="I48" s="61"/>
      <c r="J48" s="69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>
      <c r="A49" s="39">
        <v>41.0</v>
      </c>
      <c r="B49" s="33"/>
      <c r="C49" s="35"/>
      <c r="D49" s="69"/>
      <c r="E49" s="33"/>
      <c r="F49" s="68" t="s">
        <v>124</v>
      </c>
      <c r="G49" s="69"/>
      <c r="H49" s="68" t="s">
        <v>125</v>
      </c>
      <c r="I49" s="61"/>
      <c r="J49" s="69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>
      <c r="A50" s="39">
        <v>42.0</v>
      </c>
      <c r="B50" s="35"/>
      <c r="C50" s="68" t="s">
        <v>128</v>
      </c>
      <c r="D50" s="69"/>
      <c r="E50" s="35"/>
      <c r="F50" s="68" t="s">
        <v>129</v>
      </c>
      <c r="G50" s="69"/>
      <c r="H50" s="68" t="s">
        <v>130</v>
      </c>
      <c r="I50" s="61"/>
      <c r="J50" s="69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>
      <c r="A51" s="39">
        <v>43.0</v>
      </c>
      <c r="B51" s="70" t="s">
        <v>131</v>
      </c>
      <c r="C51" s="68" t="s">
        <v>132</v>
      </c>
      <c r="D51" s="69"/>
      <c r="E51" s="68" t="s">
        <v>133</v>
      </c>
      <c r="F51" s="68" t="s">
        <v>134</v>
      </c>
      <c r="G51" s="69"/>
      <c r="H51" s="68" t="s">
        <v>135</v>
      </c>
      <c r="I51" s="61"/>
      <c r="J51" s="69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>
      <c r="A52" s="39">
        <v>44.0</v>
      </c>
      <c r="B52" s="33"/>
      <c r="C52" s="70" t="s">
        <v>94</v>
      </c>
      <c r="D52" s="69"/>
      <c r="E52" s="70" t="s">
        <v>136</v>
      </c>
      <c r="F52" s="68" t="s">
        <v>95</v>
      </c>
      <c r="G52" s="69"/>
      <c r="H52" s="68" t="s">
        <v>96</v>
      </c>
      <c r="I52" s="61"/>
      <c r="J52" s="69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>
      <c r="A53" s="39">
        <v>45.0</v>
      </c>
      <c r="B53" s="33"/>
      <c r="C53" s="33"/>
      <c r="D53" s="69"/>
      <c r="E53" s="33"/>
      <c r="F53" s="68" t="s">
        <v>97</v>
      </c>
      <c r="G53" s="69"/>
      <c r="H53" s="68" t="s">
        <v>98</v>
      </c>
      <c r="I53" s="61"/>
      <c r="J53" s="69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>
      <c r="A54" s="39">
        <v>46.0</v>
      </c>
      <c r="B54" s="33"/>
      <c r="C54" s="35"/>
      <c r="D54" s="69"/>
      <c r="E54" s="33"/>
      <c r="F54" s="68" t="s">
        <v>99</v>
      </c>
      <c r="G54" s="69"/>
      <c r="H54" s="68" t="s">
        <v>100</v>
      </c>
      <c r="I54" s="61"/>
      <c r="J54" s="69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>
      <c r="A55" s="39">
        <v>47.0</v>
      </c>
      <c r="B55" s="33"/>
      <c r="C55" s="70" t="s">
        <v>101</v>
      </c>
      <c r="D55" s="69"/>
      <c r="E55" s="33"/>
      <c r="F55" s="68" t="s">
        <v>95</v>
      </c>
      <c r="G55" s="69"/>
      <c r="H55" s="68" t="s">
        <v>95</v>
      </c>
      <c r="I55" s="61"/>
      <c r="J55" s="69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>
      <c r="A56" s="39">
        <v>48.0</v>
      </c>
      <c r="B56" s="33"/>
      <c r="C56" s="33"/>
      <c r="D56" s="69"/>
      <c r="E56" s="33"/>
      <c r="F56" s="68" t="s">
        <v>102</v>
      </c>
      <c r="G56" s="69"/>
      <c r="H56" s="68" t="s">
        <v>98</v>
      </c>
      <c r="I56" s="61"/>
      <c r="J56" s="69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>
      <c r="A57" s="39">
        <v>49.0</v>
      </c>
      <c r="B57" s="33"/>
      <c r="C57" s="35"/>
      <c r="D57" s="69"/>
      <c r="E57" s="33"/>
      <c r="F57" s="68" t="s">
        <v>103</v>
      </c>
      <c r="G57" s="69"/>
      <c r="H57" s="68" t="s">
        <v>104</v>
      </c>
      <c r="I57" s="61"/>
      <c r="J57" s="69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>
      <c r="A58" s="39">
        <v>50.0</v>
      </c>
      <c r="B58" s="33"/>
      <c r="C58" s="70" t="s">
        <v>105</v>
      </c>
      <c r="D58" s="69"/>
      <c r="E58" s="33"/>
      <c r="F58" s="68" t="s">
        <v>106</v>
      </c>
      <c r="G58" s="69"/>
      <c r="H58" s="68" t="s">
        <v>107</v>
      </c>
      <c r="I58" s="61"/>
      <c r="J58" s="69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>
      <c r="A59" s="39">
        <v>51.0</v>
      </c>
      <c r="B59" s="33"/>
      <c r="C59" s="33"/>
      <c r="D59" s="69"/>
      <c r="E59" s="33"/>
      <c r="F59" s="68" t="s">
        <v>108</v>
      </c>
      <c r="G59" s="69"/>
      <c r="H59" s="68" t="s">
        <v>109</v>
      </c>
      <c r="I59" s="61"/>
      <c r="J59" s="69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>
      <c r="A60" s="39">
        <v>52.0</v>
      </c>
      <c r="B60" s="33"/>
      <c r="C60" s="35"/>
      <c r="D60" s="69"/>
      <c r="E60" s="33"/>
      <c r="F60" s="68" t="s">
        <v>110</v>
      </c>
      <c r="G60" s="69"/>
      <c r="H60" s="68" t="s">
        <v>111</v>
      </c>
      <c r="I60" s="61"/>
      <c r="J60" s="69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>
      <c r="A61" s="39">
        <v>53.0</v>
      </c>
      <c r="B61" s="33"/>
      <c r="C61" s="68" t="s">
        <v>137</v>
      </c>
      <c r="D61" s="69"/>
      <c r="E61" s="33"/>
      <c r="F61" s="68" t="s">
        <v>138</v>
      </c>
      <c r="G61" s="69"/>
      <c r="H61" s="68" t="s">
        <v>139</v>
      </c>
      <c r="I61" s="61"/>
      <c r="J61" s="69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>
      <c r="A62" s="39">
        <v>54.0</v>
      </c>
      <c r="B62" s="33"/>
      <c r="C62" s="70" t="s">
        <v>140</v>
      </c>
      <c r="D62" s="69"/>
      <c r="E62" s="33"/>
      <c r="F62" s="71" t="s">
        <v>124</v>
      </c>
      <c r="G62" s="71"/>
      <c r="H62" s="72" t="s">
        <v>141</v>
      </c>
      <c r="I62" s="61"/>
      <c r="J62" s="71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</row>
    <row r="63">
      <c r="A63" s="39">
        <v>55.0</v>
      </c>
      <c r="B63" s="33"/>
      <c r="C63" s="35"/>
      <c r="D63" s="69"/>
      <c r="E63" s="33"/>
      <c r="F63" s="68" t="s">
        <v>142</v>
      </c>
      <c r="G63" s="69"/>
      <c r="H63" s="68" t="s">
        <v>143</v>
      </c>
      <c r="I63" s="61"/>
      <c r="J63" s="69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>
      <c r="A64" s="39">
        <v>56.0</v>
      </c>
      <c r="B64" s="33"/>
      <c r="C64" s="68" t="s">
        <v>144</v>
      </c>
      <c r="D64" s="69"/>
      <c r="E64" s="33"/>
      <c r="F64" s="68" t="s">
        <v>145</v>
      </c>
      <c r="G64" s="69"/>
      <c r="H64" s="68" t="s">
        <v>130</v>
      </c>
      <c r="I64" s="61"/>
      <c r="J64" s="69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>
      <c r="A65" s="39">
        <v>57.0</v>
      </c>
      <c r="B65" s="35"/>
      <c r="C65" s="68" t="s">
        <v>146</v>
      </c>
      <c r="D65" s="69"/>
      <c r="E65" s="35"/>
      <c r="F65" s="68" t="s">
        <v>147</v>
      </c>
      <c r="G65" s="69"/>
      <c r="H65" s="68" t="s">
        <v>148</v>
      </c>
      <c r="I65" s="61"/>
      <c r="J65" s="69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>
      <c r="A66" s="39">
        <v>58.0</v>
      </c>
      <c r="B66" s="70" t="s">
        <v>149</v>
      </c>
      <c r="C66" s="70" t="s">
        <v>150</v>
      </c>
      <c r="D66" s="62" t="s">
        <v>151</v>
      </c>
      <c r="E66" s="70" t="s">
        <v>152</v>
      </c>
      <c r="F66" s="39" t="s">
        <v>153</v>
      </c>
      <c r="G66" s="69"/>
      <c r="H66" s="68" t="s">
        <v>154</v>
      </c>
      <c r="I66" s="61"/>
      <c r="J66" s="69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>
      <c r="A67" s="39">
        <v>59.0</v>
      </c>
      <c r="B67" s="33"/>
      <c r="C67" s="33"/>
      <c r="D67" s="39" t="s">
        <v>155</v>
      </c>
      <c r="E67" s="33"/>
      <c r="F67" s="39" t="s">
        <v>155</v>
      </c>
      <c r="G67" s="69"/>
      <c r="H67" s="68" t="s">
        <v>156</v>
      </c>
      <c r="I67" s="61"/>
      <c r="J67" s="69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>
      <c r="A68" s="39">
        <v>60.0</v>
      </c>
      <c r="B68" s="33"/>
      <c r="C68" s="33"/>
      <c r="D68" s="39" t="s">
        <v>157</v>
      </c>
      <c r="E68" s="33"/>
      <c r="F68" s="39" t="s">
        <v>157</v>
      </c>
      <c r="G68" s="69"/>
      <c r="H68" s="69"/>
      <c r="I68" s="61"/>
      <c r="J68" s="69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>
      <c r="A69" s="39">
        <v>61.0</v>
      </c>
      <c r="B69" s="33"/>
      <c r="C69" s="33"/>
      <c r="D69" s="39" t="s">
        <v>158</v>
      </c>
      <c r="E69" s="33"/>
      <c r="F69" s="39" t="s">
        <v>158</v>
      </c>
      <c r="G69" s="69"/>
      <c r="H69" s="68" t="s">
        <v>156</v>
      </c>
      <c r="I69" s="61"/>
      <c r="J69" s="69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>
      <c r="A70" s="39">
        <v>62.0</v>
      </c>
      <c r="B70" s="33"/>
      <c r="C70" s="33"/>
      <c r="D70" s="39" t="s">
        <v>159</v>
      </c>
      <c r="E70" s="33"/>
      <c r="F70" s="39" t="s">
        <v>159</v>
      </c>
      <c r="G70" s="69"/>
      <c r="H70" s="68" t="s">
        <v>156</v>
      </c>
      <c r="I70" s="61"/>
      <c r="J70" s="69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>
      <c r="A71" s="39">
        <v>63.0</v>
      </c>
      <c r="B71" s="33"/>
      <c r="C71" s="33"/>
      <c r="D71" s="60" t="s">
        <v>160</v>
      </c>
      <c r="E71" s="33"/>
      <c r="F71" s="60" t="s">
        <v>160</v>
      </c>
      <c r="G71" s="69"/>
      <c r="H71" s="68" t="s">
        <v>156</v>
      </c>
      <c r="I71" s="61"/>
      <c r="J71" s="69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>
      <c r="A72" s="39">
        <v>64.0</v>
      </c>
      <c r="B72" s="33"/>
      <c r="C72" s="35"/>
      <c r="D72" s="39" t="s">
        <v>161</v>
      </c>
      <c r="E72" s="33"/>
      <c r="F72" s="39" t="s">
        <v>161</v>
      </c>
      <c r="G72" s="69"/>
      <c r="H72" s="68" t="s">
        <v>156</v>
      </c>
      <c r="I72" s="61"/>
      <c r="J72" s="69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>
      <c r="A73" s="39">
        <v>65.0</v>
      </c>
      <c r="B73" s="33"/>
      <c r="C73" s="70" t="s">
        <v>162</v>
      </c>
      <c r="D73" s="62" t="s">
        <v>151</v>
      </c>
      <c r="E73" s="33"/>
      <c r="F73" s="39" t="s">
        <v>153</v>
      </c>
      <c r="G73" s="69"/>
      <c r="H73" s="68" t="s">
        <v>163</v>
      </c>
      <c r="I73" s="61"/>
      <c r="J73" s="69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>
      <c r="A74" s="39">
        <v>66.0</v>
      </c>
      <c r="B74" s="33"/>
      <c r="C74" s="33"/>
      <c r="D74" s="39" t="s">
        <v>155</v>
      </c>
      <c r="E74" s="33"/>
      <c r="F74" s="39" t="s">
        <v>155</v>
      </c>
      <c r="G74" s="69"/>
      <c r="H74" s="68" t="s">
        <v>156</v>
      </c>
      <c r="I74" s="61"/>
      <c r="J74" s="69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>
      <c r="A75" s="39">
        <v>67.0</v>
      </c>
      <c r="B75" s="33"/>
      <c r="C75" s="33"/>
      <c r="D75" s="39" t="s">
        <v>157</v>
      </c>
      <c r="E75" s="33"/>
      <c r="F75" s="39" t="s">
        <v>157</v>
      </c>
      <c r="G75" s="69"/>
      <c r="H75" s="69"/>
      <c r="I75" s="61"/>
      <c r="J75" s="69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>
      <c r="A76" s="39">
        <v>68.0</v>
      </c>
      <c r="B76" s="33"/>
      <c r="C76" s="33"/>
      <c r="D76" s="39" t="s">
        <v>158</v>
      </c>
      <c r="E76" s="33"/>
      <c r="F76" s="39" t="s">
        <v>158</v>
      </c>
      <c r="G76" s="69"/>
      <c r="H76" s="68" t="s">
        <v>156</v>
      </c>
      <c r="I76" s="61"/>
      <c r="J76" s="69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>
      <c r="A77" s="39">
        <v>69.0</v>
      </c>
      <c r="B77" s="33"/>
      <c r="C77" s="33"/>
      <c r="D77" s="39" t="s">
        <v>159</v>
      </c>
      <c r="E77" s="33"/>
      <c r="F77" s="39" t="s">
        <v>159</v>
      </c>
      <c r="G77" s="69"/>
      <c r="H77" s="68" t="s">
        <v>156</v>
      </c>
      <c r="I77" s="61"/>
      <c r="J77" s="69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>
      <c r="A78" s="39">
        <v>70.0</v>
      </c>
      <c r="B78" s="33"/>
      <c r="C78" s="33"/>
      <c r="D78" s="60" t="s">
        <v>160</v>
      </c>
      <c r="E78" s="33"/>
      <c r="F78" s="60" t="s">
        <v>160</v>
      </c>
      <c r="G78" s="69"/>
      <c r="H78" s="68" t="s">
        <v>156</v>
      </c>
      <c r="I78" s="61"/>
      <c r="J78" s="69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>
      <c r="A79" s="39">
        <v>71.0</v>
      </c>
      <c r="B79" s="33"/>
      <c r="C79" s="35"/>
      <c r="D79" s="39" t="s">
        <v>161</v>
      </c>
      <c r="E79" s="33"/>
      <c r="F79" s="39" t="s">
        <v>161</v>
      </c>
      <c r="G79" s="69"/>
      <c r="H79" s="68" t="s">
        <v>156</v>
      </c>
      <c r="I79" s="61"/>
      <c r="J79" s="69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>
      <c r="A80" s="39">
        <v>72.0</v>
      </c>
      <c r="B80" s="33"/>
      <c r="C80" s="70" t="s">
        <v>164</v>
      </c>
      <c r="D80" s="62" t="s">
        <v>151</v>
      </c>
      <c r="E80" s="33"/>
      <c r="F80" s="39" t="s">
        <v>153</v>
      </c>
      <c r="G80" s="69"/>
      <c r="H80" s="68" t="s">
        <v>165</v>
      </c>
      <c r="I80" s="61"/>
      <c r="J80" s="69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>
      <c r="A81" s="39">
        <v>73.0</v>
      </c>
      <c r="B81" s="33"/>
      <c r="C81" s="33"/>
      <c r="D81" s="39" t="s">
        <v>155</v>
      </c>
      <c r="E81" s="33"/>
      <c r="F81" s="39" t="s">
        <v>155</v>
      </c>
      <c r="G81" s="69"/>
      <c r="H81" s="68" t="s">
        <v>156</v>
      </c>
      <c r="I81" s="61"/>
      <c r="J81" s="69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>
      <c r="A82" s="39">
        <v>74.0</v>
      </c>
      <c r="B82" s="33"/>
      <c r="C82" s="33"/>
      <c r="D82" s="39" t="s">
        <v>157</v>
      </c>
      <c r="E82" s="33"/>
      <c r="F82" s="39" t="s">
        <v>157</v>
      </c>
      <c r="G82" s="69"/>
      <c r="H82" s="69"/>
      <c r="I82" s="61"/>
      <c r="J82" s="69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>
      <c r="A83" s="39">
        <v>75.0</v>
      </c>
      <c r="B83" s="33"/>
      <c r="C83" s="33"/>
      <c r="D83" s="39" t="s">
        <v>158</v>
      </c>
      <c r="E83" s="33"/>
      <c r="F83" s="39" t="s">
        <v>158</v>
      </c>
      <c r="G83" s="69"/>
      <c r="H83" s="68" t="s">
        <v>156</v>
      </c>
      <c r="I83" s="61"/>
      <c r="J83" s="69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>
      <c r="A84" s="39">
        <v>76.0</v>
      </c>
      <c r="B84" s="33"/>
      <c r="C84" s="33"/>
      <c r="D84" s="39" t="s">
        <v>159</v>
      </c>
      <c r="E84" s="33"/>
      <c r="F84" s="39" t="s">
        <v>159</v>
      </c>
      <c r="G84" s="69"/>
      <c r="H84" s="68" t="s">
        <v>156</v>
      </c>
      <c r="I84" s="61"/>
      <c r="J84" s="69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>
      <c r="A85" s="39">
        <v>77.0</v>
      </c>
      <c r="B85" s="33"/>
      <c r="C85" s="33"/>
      <c r="D85" s="60" t="s">
        <v>160</v>
      </c>
      <c r="E85" s="33"/>
      <c r="F85" s="60" t="s">
        <v>160</v>
      </c>
      <c r="G85" s="69"/>
      <c r="H85" s="68" t="s">
        <v>156</v>
      </c>
      <c r="I85" s="61"/>
      <c r="J85" s="69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>
      <c r="A86" s="39">
        <v>78.0</v>
      </c>
      <c r="B86" s="35"/>
      <c r="C86" s="35"/>
      <c r="D86" s="39" t="s">
        <v>161</v>
      </c>
      <c r="E86" s="33"/>
      <c r="F86" s="39" t="s">
        <v>161</v>
      </c>
      <c r="G86" s="69"/>
      <c r="H86" s="68" t="s">
        <v>156</v>
      </c>
      <c r="I86" s="61"/>
      <c r="J86" s="69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>
      <c r="A87" s="39">
        <v>79.0</v>
      </c>
      <c r="B87" s="69"/>
      <c r="C87" s="68" t="s">
        <v>166</v>
      </c>
      <c r="D87" s="69"/>
      <c r="E87" s="33"/>
      <c r="F87" s="68" t="s">
        <v>167</v>
      </c>
      <c r="G87" s="69"/>
      <c r="H87" s="68" t="s">
        <v>168</v>
      </c>
      <c r="I87" s="61"/>
      <c r="J87" s="69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>
      <c r="A88" s="39">
        <v>80.0</v>
      </c>
      <c r="B88" s="69"/>
      <c r="C88" s="68" t="s">
        <v>169</v>
      </c>
      <c r="D88" s="68" t="s">
        <v>170</v>
      </c>
      <c r="E88" s="35"/>
      <c r="F88" s="68" t="s">
        <v>153</v>
      </c>
      <c r="G88" s="69"/>
      <c r="H88" s="68" t="s">
        <v>171</v>
      </c>
      <c r="I88" s="61"/>
      <c r="J88" s="69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>
      <c r="A89" s="39">
        <v>81.0</v>
      </c>
      <c r="B89" s="74" t="s">
        <v>172</v>
      </c>
      <c r="C89" s="70" t="s">
        <v>94</v>
      </c>
      <c r="D89" s="69"/>
      <c r="E89" s="70" t="s">
        <v>173</v>
      </c>
      <c r="F89" s="68" t="s">
        <v>95</v>
      </c>
      <c r="G89" s="69"/>
      <c r="H89" s="68" t="s">
        <v>96</v>
      </c>
      <c r="I89" s="61"/>
      <c r="J89" s="69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>
      <c r="A90" s="39">
        <v>82.0</v>
      </c>
      <c r="B90" s="33"/>
      <c r="C90" s="33"/>
      <c r="D90" s="69"/>
      <c r="E90" s="33"/>
      <c r="F90" s="68" t="s">
        <v>97</v>
      </c>
      <c r="G90" s="69"/>
      <c r="H90" s="68" t="s">
        <v>98</v>
      </c>
      <c r="I90" s="61"/>
      <c r="J90" s="69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>
      <c r="A91" s="39">
        <v>83.0</v>
      </c>
      <c r="B91" s="33"/>
      <c r="C91" s="35"/>
      <c r="D91" s="69"/>
      <c r="E91" s="33"/>
      <c r="F91" s="68" t="s">
        <v>99</v>
      </c>
      <c r="G91" s="69"/>
      <c r="H91" s="68" t="s">
        <v>100</v>
      </c>
      <c r="I91" s="61"/>
      <c r="J91" s="69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>
      <c r="A92" s="39">
        <v>84.0</v>
      </c>
      <c r="B92" s="33"/>
      <c r="C92" s="70" t="s">
        <v>101</v>
      </c>
      <c r="D92" s="69"/>
      <c r="E92" s="33"/>
      <c r="F92" s="68" t="s">
        <v>95</v>
      </c>
      <c r="G92" s="69"/>
      <c r="H92" s="68" t="s">
        <v>95</v>
      </c>
      <c r="I92" s="61"/>
      <c r="J92" s="69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>
      <c r="A93" s="39">
        <v>85.0</v>
      </c>
      <c r="B93" s="33"/>
      <c r="C93" s="33"/>
      <c r="D93" s="69"/>
      <c r="E93" s="33"/>
      <c r="F93" s="68" t="s">
        <v>102</v>
      </c>
      <c r="G93" s="69"/>
      <c r="H93" s="68" t="s">
        <v>98</v>
      </c>
      <c r="I93" s="61"/>
      <c r="J93" s="69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>
      <c r="A94" s="39">
        <v>86.0</v>
      </c>
      <c r="B94" s="33"/>
      <c r="C94" s="35"/>
      <c r="D94" s="69"/>
      <c r="E94" s="33"/>
      <c r="F94" s="68" t="s">
        <v>103</v>
      </c>
      <c r="G94" s="69"/>
      <c r="H94" s="68" t="s">
        <v>104</v>
      </c>
      <c r="I94" s="61"/>
      <c r="J94" s="69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>
      <c r="A95" s="39">
        <v>87.0</v>
      </c>
      <c r="B95" s="33"/>
      <c r="C95" s="70" t="s">
        <v>105</v>
      </c>
      <c r="D95" s="69"/>
      <c r="E95" s="33"/>
      <c r="F95" s="68" t="s">
        <v>106</v>
      </c>
      <c r="G95" s="69"/>
      <c r="H95" s="68" t="s">
        <v>107</v>
      </c>
      <c r="I95" s="61"/>
      <c r="J95" s="69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>
      <c r="A96" s="39">
        <v>88.0</v>
      </c>
      <c r="B96" s="33"/>
      <c r="C96" s="33"/>
      <c r="D96" s="69"/>
      <c r="E96" s="33"/>
      <c r="F96" s="68" t="s">
        <v>108</v>
      </c>
      <c r="G96" s="69"/>
      <c r="H96" s="68" t="s">
        <v>109</v>
      </c>
      <c r="I96" s="61"/>
      <c r="J96" s="69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>
      <c r="A97" s="39">
        <v>89.0</v>
      </c>
      <c r="B97" s="33"/>
      <c r="C97" s="35"/>
      <c r="D97" s="69"/>
      <c r="E97" s="33"/>
      <c r="F97" s="68" t="s">
        <v>110</v>
      </c>
      <c r="G97" s="69"/>
      <c r="H97" s="68" t="s">
        <v>111</v>
      </c>
      <c r="I97" s="61"/>
      <c r="J97" s="69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>
      <c r="A98" s="39">
        <v>90.0</v>
      </c>
      <c r="B98" s="33"/>
      <c r="C98" s="68" t="s">
        <v>137</v>
      </c>
      <c r="D98" s="69"/>
      <c r="E98" s="33"/>
      <c r="F98" s="68" t="s">
        <v>138</v>
      </c>
      <c r="G98" s="69"/>
      <c r="H98" s="68" t="s">
        <v>139</v>
      </c>
      <c r="I98" s="61"/>
      <c r="J98" s="69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>
      <c r="A99" s="39">
        <v>91.0</v>
      </c>
      <c r="B99" s="33"/>
      <c r="C99" s="68" t="s">
        <v>174</v>
      </c>
      <c r="D99" s="69"/>
      <c r="E99" s="33"/>
      <c r="F99" s="69"/>
      <c r="G99" s="69"/>
      <c r="H99" s="69"/>
      <c r="I99" s="61"/>
      <c r="J99" s="69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>
      <c r="A100" s="39">
        <v>92.0</v>
      </c>
      <c r="B100" s="33"/>
      <c r="C100" s="68" t="s">
        <v>175</v>
      </c>
      <c r="D100" s="69"/>
      <c r="E100" s="33"/>
      <c r="F100" s="69"/>
      <c r="G100" s="69"/>
      <c r="H100" s="69"/>
      <c r="I100" s="61"/>
      <c r="J100" s="69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>
      <c r="A101" s="39">
        <v>93.0</v>
      </c>
      <c r="B101" s="33"/>
      <c r="C101" s="70" t="s">
        <v>176</v>
      </c>
      <c r="D101" s="69"/>
      <c r="E101" s="33"/>
      <c r="F101" s="68" t="s">
        <v>177</v>
      </c>
      <c r="G101" s="69"/>
      <c r="H101" s="68" t="s">
        <v>178</v>
      </c>
      <c r="I101" s="61"/>
      <c r="J101" s="69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>
      <c r="A102" s="39">
        <v>94.0</v>
      </c>
      <c r="B102" s="33"/>
      <c r="C102" s="33"/>
      <c r="D102" s="69"/>
      <c r="E102" s="33"/>
      <c r="F102" s="68" t="s">
        <v>179</v>
      </c>
      <c r="G102" s="69"/>
      <c r="H102" s="69"/>
      <c r="I102" s="61"/>
      <c r="J102" s="69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>
      <c r="A103" s="39">
        <v>95.0</v>
      </c>
      <c r="B103" s="33"/>
      <c r="C103" s="35"/>
      <c r="D103" s="69"/>
      <c r="E103" s="33"/>
      <c r="F103" s="68" t="s">
        <v>180</v>
      </c>
      <c r="G103" s="69"/>
      <c r="H103" s="69"/>
      <c r="I103" s="61"/>
      <c r="J103" s="69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>
      <c r="A104" s="39">
        <v>96.0</v>
      </c>
      <c r="B104" s="33"/>
      <c r="C104" s="68" t="s">
        <v>166</v>
      </c>
      <c r="D104" s="69"/>
      <c r="E104" s="33"/>
      <c r="F104" s="68" t="s">
        <v>167</v>
      </c>
      <c r="G104" s="69"/>
      <c r="H104" s="68" t="s">
        <v>130</v>
      </c>
      <c r="I104" s="61"/>
      <c r="J104" s="69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>
      <c r="A105" s="39">
        <v>97.0</v>
      </c>
      <c r="B105" s="35"/>
      <c r="C105" s="68" t="s">
        <v>181</v>
      </c>
      <c r="D105" s="69"/>
      <c r="E105" s="35"/>
      <c r="F105" s="68" t="s">
        <v>182</v>
      </c>
      <c r="G105" s="69"/>
      <c r="H105" s="68" t="s">
        <v>183</v>
      </c>
      <c r="I105" s="61"/>
      <c r="J105" s="69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>
      <c r="A106" s="39">
        <v>98.0</v>
      </c>
      <c r="B106" s="70" t="s">
        <v>184</v>
      </c>
      <c r="C106" s="68" t="s">
        <v>24</v>
      </c>
      <c r="D106" s="69"/>
      <c r="E106" s="69"/>
      <c r="F106" s="68" t="s">
        <v>185</v>
      </c>
      <c r="G106" s="69"/>
      <c r="H106" s="68" t="s">
        <v>186</v>
      </c>
      <c r="I106" s="61"/>
      <c r="J106" s="69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>
      <c r="A107" s="39">
        <v>99.0</v>
      </c>
      <c r="B107" s="35"/>
      <c r="C107" s="68" t="s">
        <v>187</v>
      </c>
      <c r="D107" s="69"/>
      <c r="E107" s="69"/>
      <c r="F107" s="68" t="s">
        <v>188</v>
      </c>
      <c r="G107" s="69"/>
      <c r="H107" s="68" t="s">
        <v>130</v>
      </c>
      <c r="I107" s="61"/>
      <c r="J107" s="69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</row>
    <row r="98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</row>
    <row r="98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</row>
    <row r="987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</row>
    <row r="988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</row>
    <row r="989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</row>
    <row r="990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</row>
    <row r="99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</row>
    <row r="99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</row>
    <row r="99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</row>
  </sheetData>
  <mergeCells count="41">
    <mergeCell ref="C41:C43"/>
    <mergeCell ref="C44:C46"/>
    <mergeCell ref="B36:B50"/>
    <mergeCell ref="C38:C40"/>
    <mergeCell ref="C36:C37"/>
    <mergeCell ref="C47:C49"/>
    <mergeCell ref="E12:E15"/>
    <mergeCell ref="E16:E19"/>
    <mergeCell ref="E20:E35"/>
    <mergeCell ref="E36:E50"/>
    <mergeCell ref="E52:E65"/>
    <mergeCell ref="B3:E3"/>
    <mergeCell ref="B9:B11"/>
    <mergeCell ref="C9:C11"/>
    <mergeCell ref="B12:B15"/>
    <mergeCell ref="C12:C15"/>
    <mergeCell ref="B16:B19"/>
    <mergeCell ref="C16:C19"/>
    <mergeCell ref="C26:C28"/>
    <mergeCell ref="C29:C32"/>
    <mergeCell ref="B20:B35"/>
    <mergeCell ref="C23:C25"/>
    <mergeCell ref="C20:C22"/>
    <mergeCell ref="C33:C35"/>
    <mergeCell ref="B51:B65"/>
    <mergeCell ref="C55:C57"/>
    <mergeCell ref="C58:C60"/>
    <mergeCell ref="C52:C54"/>
    <mergeCell ref="C62:C63"/>
    <mergeCell ref="C95:C97"/>
    <mergeCell ref="C101:C103"/>
    <mergeCell ref="B89:B105"/>
    <mergeCell ref="E89:E105"/>
    <mergeCell ref="B106:B107"/>
    <mergeCell ref="C66:C72"/>
    <mergeCell ref="C73:C79"/>
    <mergeCell ref="B66:B86"/>
    <mergeCell ref="C80:C86"/>
    <mergeCell ref="E66:E88"/>
    <mergeCell ref="C92:C94"/>
    <mergeCell ref="C89:C91"/>
  </mergeCells>
  <dataValidations>
    <dataValidation type="list" allowBlank="1" showInputMessage="1" showErrorMessage="1" prompt="Nhấp và nhập một giá trị từ danh sách các mục" sqref="I9:I107">
      <formula1>"Pass,Fail,Untested,N/A"</formula1>
    </dataValidation>
    <dataValidation type="list" allowBlank="1" showInputMessage="1" showErrorMessage="1" prompt=" - " sqref="I1:I3 I7:I8">
      <formula1>$L$2:$L$6</formula1>
    </dataValidation>
  </dataValidations>
  <drawing r:id="rId1"/>
</worksheet>
</file>